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4000" windowHeight="96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18" i="1"/>
  <c r="F18" i="1"/>
  <c r="F19" i="1"/>
  <c r="F20" i="1"/>
  <c r="F21" i="1"/>
  <c r="F22" i="1"/>
  <c r="F23" i="1"/>
  <c r="F24" i="1"/>
  <c r="F25" i="1"/>
  <c r="F26" i="1"/>
  <c r="E4" i="1"/>
  <c r="E5" i="1"/>
  <c r="E6" i="1"/>
  <c r="E7" i="1"/>
  <c r="E8" i="1"/>
  <c r="E9" i="1"/>
  <c r="E10" i="1"/>
  <c r="E11" i="1"/>
  <c r="E3" i="1"/>
  <c r="I19" i="1"/>
  <c r="I20" i="1"/>
  <c r="I21" i="1"/>
  <c r="I22" i="1"/>
  <c r="I23" i="1"/>
  <c r="I24" i="1"/>
  <c r="I25" i="1"/>
  <c r="I26" i="1"/>
  <c r="I27" i="1"/>
  <c r="I18" i="1"/>
  <c r="D19" i="1"/>
  <c r="H19" i="1" s="1"/>
  <c r="D20" i="1"/>
  <c r="H20" i="1" s="1"/>
  <c r="D21" i="1"/>
  <c r="H21" i="1" s="1"/>
  <c r="D22" i="1"/>
  <c r="D23" i="1"/>
  <c r="D24" i="1"/>
  <c r="D25" i="1"/>
  <c r="D26" i="1"/>
  <c r="D18" i="1"/>
  <c r="H18" i="1" s="1"/>
  <c r="H12" i="1"/>
  <c r="H24" i="1" l="1"/>
  <c r="H23" i="1"/>
  <c r="H26" i="1"/>
  <c r="H25" i="1"/>
  <c r="H22" i="1"/>
  <c r="G11" i="1"/>
  <c r="G10" i="1"/>
  <c r="G9" i="1"/>
  <c r="G8" i="1"/>
  <c r="G7" i="1"/>
  <c r="G6" i="1"/>
  <c r="G5" i="1"/>
  <c r="G4" i="1"/>
  <c r="G3" i="1"/>
  <c r="G12" i="1" l="1"/>
</calcChain>
</file>

<file path=xl/sharedStrings.xml><?xml version="1.0" encoding="utf-8"?>
<sst xmlns="http://schemas.openxmlformats.org/spreadsheetml/2006/main" count="30" uniqueCount="20">
  <si>
    <t>VARA CANNON CNKW-3903 3.90m 100-200g</t>
  </si>
  <si>
    <t xml:space="preserve">PORCENTAJE GANANCIA </t>
  </si>
  <si>
    <t xml:space="preserve">CANTIDAD </t>
  </si>
  <si>
    <t>MARINE SPOR</t>
  </si>
  <si>
    <t>PRECIO USD</t>
  </si>
  <si>
    <t>PRECIO MINORISTA USD</t>
  </si>
  <si>
    <t>PRECIO POR MAYOR  USD</t>
  </si>
  <si>
    <t>PESCANDO A PLENO</t>
  </si>
  <si>
    <t>MINORITAS 40%</t>
  </si>
  <si>
    <t>UTILIDAD</t>
  </si>
  <si>
    <t>RELL JIMMY  BLUE FD 1ROL 5.2:1 C/ LINHA</t>
  </si>
  <si>
    <t>RELL JIMMY  GREEN FD 1ROL 5.2:1 C/ LINHA</t>
  </si>
  <si>
    <t>RELL  JIMMY  GREY FD 1ROL 5.2:1 C/ LINHA</t>
  </si>
  <si>
    <t>RELL ARENA  2000 FD 1ROL 5.1:1</t>
  </si>
  <si>
    <t>RELL ARENA BLUE 2000 FD 1ROL 5.1:1</t>
  </si>
  <si>
    <t>RELL ELITE GOLD  1000 FD 3ROL 5.1:1</t>
  </si>
  <si>
    <t>RELL  ARENA RED 2000 FD 1ROL 5.1:1</t>
  </si>
  <si>
    <t>RELL ARENA 4000 RD 1ROL 5.0:1</t>
  </si>
  <si>
    <t>MAYORITA 25%</t>
  </si>
  <si>
    <t>DÓLAR  1755,40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</si>
</sst>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1" xfId="0" applyBorder="1"/>
    <xf numFmtId="0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2" fontId="0" fillId="0" borderId="1" xfId="0" applyNumberFormat="1" applyFill="1" applyBorder="1" applyProtection="1">
      <protection locked="0"/>
    </xf>
    <xf numFmtId="0" fontId="0" fillId="0" borderId="1" xfId="0" applyFill="1" applyBorder="1"/>
    <xf numFmtId="2" fontId="0" fillId="0" borderId="1" xfId="0" applyNumberFormat="1" applyFill="1" applyBorder="1"/>
    <xf numFmtId="164" fontId="0" fillId="0" borderId="1" xfId="1" applyFont="1" applyBorder="1"/>
    <xf numFmtId="0" fontId="0" fillId="0" borderId="0" xfId="0" applyNumberForma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Border="1"/>
    <xf numFmtId="2" fontId="0" fillId="0" borderId="0" xfId="0" applyNumberFormat="1" applyFill="1" applyBorder="1" applyProtection="1">
      <protection locked="0"/>
    </xf>
    <xf numFmtId="9" fontId="0" fillId="0" borderId="1" xfId="2" applyFont="1" applyBorder="1"/>
    <xf numFmtId="43" fontId="0" fillId="0" borderId="0" xfId="0" applyNumberFormat="1"/>
    <xf numFmtId="43" fontId="0" fillId="0" borderId="1" xfId="0" applyNumberFormat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abSelected="1" workbookViewId="0">
      <selection activeCell="J7" sqref="J7"/>
    </sheetView>
  </sheetViews>
  <sheetFormatPr baseColWidth="10" defaultRowHeight="15" x14ac:dyDescent="0.25"/>
  <cols>
    <col min="2" max="2" width="44.42578125" customWidth="1"/>
    <col min="3" max="3" width="26.7109375" customWidth="1"/>
    <col min="4" max="4" width="24.7109375" customWidth="1"/>
    <col min="5" max="5" width="18.7109375" customWidth="1"/>
    <col min="6" max="6" width="14.85546875" customWidth="1"/>
    <col min="7" max="7" width="15.28515625" customWidth="1"/>
    <col min="8" max="8" width="22.140625" customWidth="1"/>
    <col min="9" max="9" width="16.28515625" customWidth="1"/>
  </cols>
  <sheetData>
    <row r="2" spans="1:8" x14ac:dyDescent="0.25">
      <c r="A2" s="3"/>
      <c r="B2" s="3" t="s">
        <v>3</v>
      </c>
      <c r="C2" s="3" t="s">
        <v>5</v>
      </c>
      <c r="D2" s="3" t="s">
        <v>6</v>
      </c>
      <c r="E2" s="3" t="s">
        <v>1</v>
      </c>
      <c r="F2" s="3" t="s">
        <v>2</v>
      </c>
      <c r="G2" s="3" t="s">
        <v>4</v>
      </c>
      <c r="H2" s="7"/>
    </row>
    <row r="3" spans="1:8" x14ac:dyDescent="0.25">
      <c r="A3" s="4">
        <v>20042956</v>
      </c>
      <c r="B3" s="5" t="s">
        <v>10</v>
      </c>
      <c r="C3" s="6">
        <v>5.6859999999999999</v>
      </c>
      <c r="D3" s="6">
        <v>3.98</v>
      </c>
      <c r="E3" s="7">
        <f>(C3-D3)/D3</f>
        <v>0.42864321608040201</v>
      </c>
      <c r="F3" s="7">
        <v>2</v>
      </c>
      <c r="G3" s="8">
        <f>F3*D3</f>
        <v>7.96</v>
      </c>
      <c r="H3" s="3"/>
    </row>
    <row r="4" spans="1:8" x14ac:dyDescent="0.25">
      <c r="A4" s="4">
        <v>20042957</v>
      </c>
      <c r="B4" s="5" t="s">
        <v>11</v>
      </c>
      <c r="C4" s="6">
        <v>5.6859999999999999</v>
      </c>
      <c r="D4" s="6">
        <v>3.98</v>
      </c>
      <c r="E4" s="7">
        <f t="shared" ref="E4:E11" si="0">(C4-D4)/D4</f>
        <v>0.42864321608040201</v>
      </c>
      <c r="F4" s="7">
        <v>2</v>
      </c>
      <c r="G4" s="8">
        <f>F4*D4</f>
        <v>7.96</v>
      </c>
      <c r="H4" s="3"/>
    </row>
    <row r="5" spans="1:8" x14ac:dyDescent="0.25">
      <c r="A5" s="4">
        <v>20042958</v>
      </c>
      <c r="B5" s="5" t="s">
        <v>12</v>
      </c>
      <c r="C5" s="6">
        <v>5.6859999999999999</v>
      </c>
      <c r="D5" s="6">
        <v>3.98</v>
      </c>
      <c r="E5" s="7">
        <f t="shared" si="0"/>
        <v>0.42864321608040201</v>
      </c>
      <c r="F5" s="7">
        <v>2</v>
      </c>
      <c r="G5" s="8">
        <f>F5*D5</f>
        <v>7.96</v>
      </c>
      <c r="H5" s="3"/>
    </row>
    <row r="6" spans="1:8" x14ac:dyDescent="0.25">
      <c r="A6" s="4">
        <v>12101106</v>
      </c>
      <c r="B6" s="5" t="s">
        <v>0</v>
      </c>
      <c r="C6" s="6">
        <v>45.414000000000001</v>
      </c>
      <c r="D6" s="6">
        <v>31.79</v>
      </c>
      <c r="E6" s="7">
        <f t="shared" si="0"/>
        <v>0.4285624410191885</v>
      </c>
      <c r="F6" s="7">
        <v>4</v>
      </c>
      <c r="G6" s="8">
        <f>F6*D6</f>
        <v>127.16</v>
      </c>
      <c r="H6" s="3"/>
    </row>
    <row r="7" spans="1:8" x14ac:dyDescent="0.25">
      <c r="A7" s="4">
        <v>20043702</v>
      </c>
      <c r="B7" s="5" t="s">
        <v>13</v>
      </c>
      <c r="C7" s="6">
        <v>6.8860000000000001</v>
      </c>
      <c r="D7" s="6">
        <v>4.82</v>
      </c>
      <c r="E7" s="7">
        <f t="shared" si="0"/>
        <v>0.42863070539419079</v>
      </c>
      <c r="F7" s="7">
        <v>10</v>
      </c>
      <c r="G7" s="8">
        <f>F7*D7</f>
        <v>48.2</v>
      </c>
      <c r="H7" s="3"/>
    </row>
    <row r="8" spans="1:8" x14ac:dyDescent="0.25">
      <c r="A8" s="4">
        <v>20043726</v>
      </c>
      <c r="B8" s="5" t="s">
        <v>14</v>
      </c>
      <c r="C8" s="6">
        <v>6.8860000000000001</v>
      </c>
      <c r="D8" s="6">
        <v>4.82</v>
      </c>
      <c r="E8" s="7">
        <f t="shared" si="0"/>
        <v>0.42863070539419079</v>
      </c>
      <c r="F8" s="7">
        <v>10</v>
      </c>
      <c r="G8" s="8">
        <f>F8*D8</f>
        <v>48.2</v>
      </c>
      <c r="H8" s="3"/>
    </row>
    <row r="9" spans="1:8" x14ac:dyDescent="0.25">
      <c r="A9" s="4">
        <v>20043716</v>
      </c>
      <c r="B9" s="5" t="s">
        <v>15</v>
      </c>
      <c r="C9" s="6">
        <v>9.7289999999999992</v>
      </c>
      <c r="D9" s="6">
        <v>6.81</v>
      </c>
      <c r="E9" s="7">
        <f t="shared" si="0"/>
        <v>0.42863436123348014</v>
      </c>
      <c r="F9" s="7">
        <v>10</v>
      </c>
      <c r="G9" s="8">
        <f>F9*D9</f>
        <v>68.099999999999994</v>
      </c>
      <c r="H9" s="3"/>
    </row>
    <row r="10" spans="1:8" x14ac:dyDescent="0.25">
      <c r="A10" s="4">
        <v>20043730</v>
      </c>
      <c r="B10" s="5" t="s">
        <v>16</v>
      </c>
      <c r="C10" s="6">
        <v>6.8860000000000001</v>
      </c>
      <c r="D10" s="6">
        <v>4.82</v>
      </c>
      <c r="E10" s="7">
        <f t="shared" si="0"/>
        <v>0.42863070539419079</v>
      </c>
      <c r="F10" s="7">
        <v>15</v>
      </c>
      <c r="G10" s="8">
        <f>F10*D10</f>
        <v>72.300000000000011</v>
      </c>
      <c r="H10" s="3"/>
    </row>
    <row r="11" spans="1:8" x14ac:dyDescent="0.25">
      <c r="A11" s="4">
        <v>20043709</v>
      </c>
      <c r="B11" s="5" t="s">
        <v>17</v>
      </c>
      <c r="C11" s="6">
        <v>8.1430000000000007</v>
      </c>
      <c r="D11" s="6">
        <v>5.7</v>
      </c>
      <c r="E11" s="7">
        <f t="shared" si="0"/>
        <v>0.42859649122807025</v>
      </c>
      <c r="F11" s="7">
        <v>20</v>
      </c>
      <c r="G11" s="8">
        <f>F11*D11</f>
        <v>114</v>
      </c>
      <c r="H11" s="3"/>
    </row>
    <row r="12" spans="1:8" x14ac:dyDescent="0.25">
      <c r="A12" s="4"/>
      <c r="B12" s="5"/>
      <c r="C12" s="6"/>
      <c r="D12" s="6"/>
      <c r="E12" s="7"/>
      <c r="F12" s="7"/>
      <c r="G12" s="8">
        <f>SUM(G3:G11)</f>
        <v>501.84</v>
      </c>
      <c r="H12" s="9">
        <f>G12*1755.4</f>
        <v>880929.93599999999</v>
      </c>
    </row>
    <row r="13" spans="1:8" x14ac:dyDescent="0.25">
      <c r="A13" s="1"/>
      <c r="B13" s="1"/>
      <c r="C13" s="1"/>
      <c r="D13" s="1"/>
      <c r="E13" s="1"/>
      <c r="F13" s="1"/>
      <c r="G13" s="2"/>
      <c r="H13" s="1"/>
    </row>
    <row r="17" spans="1:9" x14ac:dyDescent="0.25">
      <c r="A17" s="3"/>
      <c r="B17" s="3" t="s">
        <v>7</v>
      </c>
      <c r="C17" s="3" t="s">
        <v>6</v>
      </c>
      <c r="D17" s="3" t="s">
        <v>19</v>
      </c>
      <c r="E17" s="3"/>
      <c r="F17" s="14" t="s">
        <v>18</v>
      </c>
      <c r="G17" s="3" t="s">
        <v>9</v>
      </c>
      <c r="H17" s="3" t="s">
        <v>8</v>
      </c>
      <c r="I17" s="3"/>
    </row>
    <row r="18" spans="1:9" x14ac:dyDescent="0.25">
      <c r="A18" s="4">
        <v>20042956</v>
      </c>
      <c r="B18" s="5" t="s">
        <v>10</v>
      </c>
      <c r="C18" s="6">
        <v>3.98</v>
      </c>
      <c r="D18" s="9">
        <f>C18*1755.4</f>
        <v>6986.4920000000002</v>
      </c>
      <c r="E18" s="9"/>
      <c r="F18" s="9">
        <f>D18*1.25</f>
        <v>8733.1149999999998</v>
      </c>
      <c r="G18" s="9">
        <f>F18-D18</f>
        <v>1746.6229999999996</v>
      </c>
      <c r="H18" s="9">
        <f>D18*1.4</f>
        <v>9781.0887999999995</v>
      </c>
      <c r="I18" s="16">
        <f>H18-D18</f>
        <v>2794.5967999999993</v>
      </c>
    </row>
    <row r="19" spans="1:9" x14ac:dyDescent="0.25">
      <c r="A19" s="4">
        <v>20042957</v>
      </c>
      <c r="B19" s="5" t="s">
        <v>11</v>
      </c>
      <c r="C19" s="6">
        <v>3.98</v>
      </c>
      <c r="D19" s="9">
        <f t="shared" ref="D19:D26" si="1">C19*1755.4</f>
        <v>6986.4920000000002</v>
      </c>
      <c r="E19" s="9"/>
      <c r="F19" s="9">
        <f t="shared" ref="F19:F26" si="2">D19*1.25</f>
        <v>8733.1149999999998</v>
      </c>
      <c r="G19" s="9">
        <f t="shared" ref="G19:G26" si="3">F19-D19</f>
        <v>1746.6229999999996</v>
      </c>
      <c r="H19" s="9">
        <f t="shared" ref="H19:H26" si="4">D19*1.4</f>
        <v>9781.0887999999995</v>
      </c>
      <c r="I19" s="16">
        <f t="shared" ref="I19:I27" si="5">H19-D19</f>
        <v>2794.5967999999993</v>
      </c>
    </row>
    <row r="20" spans="1:9" x14ac:dyDescent="0.25">
      <c r="A20" s="4">
        <v>20042958</v>
      </c>
      <c r="B20" s="5" t="s">
        <v>12</v>
      </c>
      <c r="C20" s="6">
        <v>3.98</v>
      </c>
      <c r="D20" s="9">
        <f t="shared" si="1"/>
        <v>6986.4920000000002</v>
      </c>
      <c r="E20" s="9"/>
      <c r="F20" s="9">
        <f t="shared" si="2"/>
        <v>8733.1149999999998</v>
      </c>
      <c r="G20" s="9">
        <f t="shared" si="3"/>
        <v>1746.6229999999996</v>
      </c>
      <c r="H20" s="9">
        <f t="shared" si="4"/>
        <v>9781.0887999999995</v>
      </c>
      <c r="I20" s="16">
        <f t="shared" si="5"/>
        <v>2794.5967999999993</v>
      </c>
    </row>
    <row r="21" spans="1:9" x14ac:dyDescent="0.25">
      <c r="A21" s="4">
        <v>12101106</v>
      </c>
      <c r="B21" s="5" t="s">
        <v>0</v>
      </c>
      <c r="C21" s="6">
        <v>31.79</v>
      </c>
      <c r="D21" s="9">
        <f t="shared" si="1"/>
        <v>55804.166000000005</v>
      </c>
      <c r="E21" s="9"/>
      <c r="F21" s="9">
        <f t="shared" si="2"/>
        <v>69755.207500000004</v>
      </c>
      <c r="G21" s="9">
        <f t="shared" si="3"/>
        <v>13951.041499999999</v>
      </c>
      <c r="H21" s="9">
        <f t="shared" si="4"/>
        <v>78125.832399999999</v>
      </c>
      <c r="I21" s="16">
        <f t="shared" si="5"/>
        <v>22321.666399999995</v>
      </c>
    </row>
    <row r="22" spans="1:9" x14ac:dyDescent="0.25">
      <c r="A22" s="4">
        <v>20043702</v>
      </c>
      <c r="B22" s="5" t="s">
        <v>13</v>
      </c>
      <c r="C22" s="6">
        <v>4.82</v>
      </c>
      <c r="D22" s="9">
        <f t="shared" si="1"/>
        <v>8461.0280000000002</v>
      </c>
      <c r="E22" s="9"/>
      <c r="F22" s="9">
        <f t="shared" si="2"/>
        <v>10576.285</v>
      </c>
      <c r="G22" s="9">
        <f t="shared" si="3"/>
        <v>2115.2569999999996</v>
      </c>
      <c r="H22" s="9">
        <f t="shared" si="4"/>
        <v>11845.439199999999</v>
      </c>
      <c r="I22" s="16">
        <f t="shared" si="5"/>
        <v>3384.4111999999986</v>
      </c>
    </row>
    <row r="23" spans="1:9" x14ac:dyDescent="0.25">
      <c r="A23" s="4">
        <v>20043726</v>
      </c>
      <c r="B23" s="5" t="s">
        <v>14</v>
      </c>
      <c r="C23" s="6">
        <v>4.82</v>
      </c>
      <c r="D23" s="9">
        <f t="shared" si="1"/>
        <v>8461.0280000000002</v>
      </c>
      <c r="E23" s="9"/>
      <c r="F23" s="9">
        <f t="shared" si="2"/>
        <v>10576.285</v>
      </c>
      <c r="G23" s="9">
        <f t="shared" si="3"/>
        <v>2115.2569999999996</v>
      </c>
      <c r="H23" s="9">
        <f t="shared" si="4"/>
        <v>11845.439199999999</v>
      </c>
      <c r="I23" s="16">
        <f t="shared" si="5"/>
        <v>3384.4111999999986</v>
      </c>
    </row>
    <row r="24" spans="1:9" x14ac:dyDescent="0.25">
      <c r="A24" s="4">
        <v>20043716</v>
      </c>
      <c r="B24" s="5" t="s">
        <v>15</v>
      </c>
      <c r="C24" s="6">
        <v>6.81</v>
      </c>
      <c r="D24" s="9">
        <f t="shared" si="1"/>
        <v>11954.273999999999</v>
      </c>
      <c r="E24" s="9"/>
      <c r="F24" s="9">
        <f t="shared" si="2"/>
        <v>14942.842499999999</v>
      </c>
      <c r="G24" s="9">
        <f t="shared" si="3"/>
        <v>2988.5684999999994</v>
      </c>
      <c r="H24" s="9">
        <f t="shared" si="4"/>
        <v>16735.9836</v>
      </c>
      <c r="I24" s="16">
        <f t="shared" si="5"/>
        <v>4781.7096000000001</v>
      </c>
    </row>
    <row r="25" spans="1:9" x14ac:dyDescent="0.25">
      <c r="A25" s="4">
        <v>20043730</v>
      </c>
      <c r="B25" s="5" t="s">
        <v>16</v>
      </c>
      <c r="C25" s="6">
        <v>4.82</v>
      </c>
      <c r="D25" s="9">
        <f t="shared" si="1"/>
        <v>8461.0280000000002</v>
      </c>
      <c r="E25" s="9"/>
      <c r="F25" s="9">
        <f t="shared" si="2"/>
        <v>10576.285</v>
      </c>
      <c r="G25" s="9">
        <f t="shared" si="3"/>
        <v>2115.2569999999996</v>
      </c>
      <c r="H25" s="9">
        <f t="shared" si="4"/>
        <v>11845.439199999999</v>
      </c>
      <c r="I25" s="16">
        <f t="shared" si="5"/>
        <v>3384.4111999999986</v>
      </c>
    </row>
    <row r="26" spans="1:9" x14ac:dyDescent="0.25">
      <c r="A26" s="4">
        <v>20043709</v>
      </c>
      <c r="B26" s="5" t="s">
        <v>17</v>
      </c>
      <c r="C26" s="6">
        <v>5.7</v>
      </c>
      <c r="D26" s="9">
        <f t="shared" si="1"/>
        <v>10005.780000000001</v>
      </c>
      <c r="E26" s="9"/>
      <c r="F26" s="9">
        <f t="shared" si="2"/>
        <v>12507.225</v>
      </c>
      <c r="G26" s="9">
        <f t="shared" si="3"/>
        <v>2501.4449999999997</v>
      </c>
      <c r="H26" s="9">
        <f t="shared" si="4"/>
        <v>14008.092000000001</v>
      </c>
      <c r="I26" s="16">
        <f t="shared" si="5"/>
        <v>4002.3119999999999</v>
      </c>
    </row>
    <row r="27" spans="1:9" x14ac:dyDescent="0.25">
      <c r="A27" s="10"/>
      <c r="B27" s="11"/>
      <c r="C27" s="12"/>
      <c r="D27" s="12"/>
      <c r="E27" s="12"/>
      <c r="I27" s="15">
        <f t="shared" si="5"/>
        <v>0</v>
      </c>
    </row>
    <row r="28" spans="1:9" x14ac:dyDescent="0.25">
      <c r="A28" s="12"/>
      <c r="B28" s="12"/>
      <c r="C28" s="13"/>
      <c r="D28" s="13"/>
      <c r="E2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USUARIO</cp:lastModifiedBy>
  <dcterms:created xsi:type="dcterms:W3CDTF">2026-03-03T20:37:00Z</dcterms:created>
  <dcterms:modified xsi:type="dcterms:W3CDTF">2026-03-06T20:56:22Z</dcterms:modified>
</cp:coreProperties>
</file>